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redr\kod\exjobb\"/>
    </mc:Choice>
  </mc:AlternateContent>
  <xr:revisionPtr revIDLastSave="0" documentId="13_ncr:1_{09DF69E5-281B-46AE-8FD1-A5DB8DFF0F4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9" i="1"/>
  <c r="K23" i="1"/>
  <c r="K22" i="1"/>
  <c r="K21" i="1"/>
  <c r="J23" i="1"/>
  <c r="J22" i="1"/>
  <c r="J21" i="1"/>
  <c r="F27" i="1"/>
  <c r="F26" i="1"/>
  <c r="F25" i="1"/>
  <c r="D27" i="1"/>
  <c r="D26" i="1"/>
  <c r="D25" i="1"/>
  <c r="B27" i="1"/>
  <c r="B26" i="1"/>
  <c r="B25" i="1"/>
  <c r="I23" i="1"/>
  <c r="I22" i="1"/>
  <c r="I21" i="1"/>
  <c r="H23" i="1"/>
  <c r="H27" i="1" s="1"/>
  <c r="H22" i="1"/>
  <c r="H26" i="1" s="1"/>
  <c r="H21" i="1"/>
  <c r="H25" i="1" s="1"/>
  <c r="K13" i="1"/>
  <c r="I13" i="1"/>
  <c r="D13" i="1"/>
  <c r="C13" i="1"/>
  <c r="B13" i="1"/>
</calcChain>
</file>

<file path=xl/sharedStrings.xml><?xml version="1.0" encoding="utf-8"?>
<sst xmlns="http://schemas.openxmlformats.org/spreadsheetml/2006/main" count="59" uniqueCount="49">
  <si>
    <t>File</t>
  </si>
  <si>
    <t>Claude Sonnet 4.6</t>
  </si>
  <si>
    <t>PMD quickstart</t>
  </si>
  <si>
    <t>PMD all rules</t>
  </si>
  <si>
    <t>True positive</t>
  </si>
  <si>
    <t>False positive</t>
  </si>
  <si>
    <t>Notes</t>
  </si>
  <si>
    <t>Logical finding</t>
  </si>
  <si>
    <t>Error</t>
  </si>
  <si>
    <t>TemporalAccessorPicker</t>
  </si>
  <si>
    <t>MsBibAuthor</t>
  </si>
  <si>
    <t>OpenUrlAction</t>
  </si>
  <si>
    <t>SpecialFieldComparator</t>
  </si>
  <si>
    <t>GroupChange</t>
  </si>
  <si>
    <t>MergeEntriesDialog</t>
  </si>
  <si>
    <t>ACMPortalParser</t>
  </si>
  <si>
    <t>ConstantsPropertiesView</t>
  </si>
  <si>
    <t>XmpUtilReader</t>
  </si>
  <si>
    <t>Correct line ref</t>
  </si>
  <si>
    <t>Hallucination</t>
  </si>
  <si>
    <t xml:space="preserve"> </t>
  </si>
  <si>
    <t>Line 52-53… är logiskt fynd. Line 40 är hallucination. Line 65 är hallucination.</t>
  </si>
  <si>
    <t>Säger att PMD ska markera saker som fel när PMD inte gör det.</t>
  </si>
  <si>
    <t>Line 19 jämförelse med null är inte negerad operator? = hallucination. Hittar samma två fel två gånger.</t>
  </si>
  <si>
    <t>Line 13, säger att nåt är fel men ändrar sig I svaret. "however more critically:", lite mänskligt, att skylla ifrån sig/bortförklara? Säger igen att PMD ska rapportera något som fel när den inte gör det.</t>
  </si>
  <si>
    <t>Line 6 är hallucination. upperUnderscoreTyeStr är felstavad sträng. Line 100 är påhittat fel? Line 59 är hallucination, antar att metoden tar en charset.</t>
  </si>
  <si>
    <t>Line 56,57 är hallucination. Line 44 är hallucination.</t>
  </si>
  <si>
    <t>Anser system.setproperty är fel. Line 35 är hallucination. Line 36 är hallucination.</t>
  </si>
  <si>
    <t>DocBookVersion</t>
  </si>
  <si>
    <t>Hittar samma fel två gånger. Dataflow-analys I sista felet.</t>
  </si>
  <si>
    <t>Quantitative part</t>
  </si>
  <si>
    <t>pmd quickstart time</t>
  </si>
  <si>
    <t>pmd all rules time</t>
  </si>
  <si>
    <t>Claude time</t>
  </si>
  <si>
    <t>Files</t>
  </si>
  <si>
    <t>Errors</t>
  </si>
  <si>
    <t>Fel</t>
  </si>
  <si>
    <t>PMD quickstart per fil:</t>
  </si>
  <si>
    <t>PMD all rules per fil:</t>
  </si>
  <si>
    <t>Claude per fil:</t>
  </si>
  <si>
    <t>80 filer</t>
  </si>
  <si>
    <t>160 filer</t>
  </si>
  <si>
    <t>320 filer</t>
  </si>
  <si>
    <t>Kostnad:</t>
  </si>
  <si>
    <t>I kronor:</t>
  </si>
  <si>
    <t>total latency for 100 runs:</t>
  </si>
  <si>
    <t>57.0141278999763</t>
  </si>
  <si>
    <t xml:space="preserve">average per file: </t>
  </si>
  <si>
    <t>0.570141278999763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</si>
</sst>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Exekveringstid med</a:t>
            </a:r>
            <a:r>
              <a:rPr lang="sv-SE" baseline="0"/>
              <a:t> stigande filantal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Blad1!$A$45</c:f>
              <c:strCache>
                <c:ptCount val="1"/>
                <c:pt idx="0">
                  <c:v>PMD quickstart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Blad1!$B$44:$D$44</c:f>
              <c:strCache>
                <c:ptCount val="3"/>
                <c:pt idx="0">
                  <c:v>80 filer</c:v>
                </c:pt>
                <c:pt idx="1">
                  <c:v>160 filer</c:v>
                </c:pt>
                <c:pt idx="2">
                  <c:v>320 filer</c:v>
                </c:pt>
              </c:strCache>
            </c:strRef>
          </c:cat>
          <c:val>
            <c:numRef>
              <c:f>Blad1!$B$45:$D$45</c:f>
              <c:numCache>
                <c:formatCode>General</c:formatCode>
                <c:ptCount val="3"/>
                <c:pt idx="0">
                  <c:v>267.24</c:v>
                </c:pt>
                <c:pt idx="1">
                  <c:v>495.8</c:v>
                </c:pt>
                <c:pt idx="2">
                  <c:v>1040.3900000000001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3-4AC8-BF41-3373539D7468}"/>
            </c:ext>
          </c:extLst>
        </c:ser>
        <c:ser>
          <c:idx val="1"/>
          <c:order val="1"/>
          <c:tx>
            <c:strRef>
              <c:f>Blad1!$A$46</c:f>
              <c:strCache>
                <c:ptCount val="1"/>
                <c:pt idx="0">
                  <c:v>PMD all rules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Blad1!$B$44:$D$44</c:f>
              <c:strCache>
                <c:ptCount val="3"/>
                <c:pt idx="0">
                  <c:v>80 filer</c:v>
                </c:pt>
                <c:pt idx="1">
                  <c:v>160 filer</c:v>
                </c:pt>
                <c:pt idx="2">
                  <c:v>320 filer</c:v>
                </c:pt>
              </c:strCache>
            </c:strRef>
          </c:cat>
          <c:val>
            <c:numRef>
              <c:f>Blad1!$B$46:$D$46</c:f>
              <c:numCache>
                <c:formatCode>General</c:formatCode>
                <c:ptCount val="3"/>
                <c:pt idx="0">
                  <c:v>273.67</c:v>
                </c:pt>
                <c:pt idx="1">
                  <c:v>489.4</c:v>
                </c:pt>
                <c:pt idx="2">
                  <c:v>1058.3800000000001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3-4AC8-BF41-3373539D7468}"/>
            </c:ext>
          </c:extLst>
        </c:ser>
        <c:ser>
          <c:idx val="2"/>
          <c:order val="2"/>
          <c:tx>
            <c:strRef>
              <c:f>Blad1!$A$47</c:f>
              <c:strCache>
                <c:ptCount val="1"/>
                <c:pt idx="0">
                  <c:v>Claude Sonnet 4.6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Blad1!$B$44:$D$44</c:f>
              <c:strCache>
                <c:ptCount val="3"/>
                <c:pt idx="0">
                  <c:v>80 filer</c:v>
                </c:pt>
                <c:pt idx="1">
                  <c:v>160 filer</c:v>
                </c:pt>
                <c:pt idx="2">
                  <c:v>320 filer</c:v>
                </c:pt>
              </c:strCache>
            </c:strRef>
          </c:cat>
          <c:val>
            <c:numRef>
              <c:f>Blad1!$B$47:$D$47</c:f>
              <c:numCache>
                <c:formatCode>General</c:formatCode>
                <c:ptCount val="3"/>
                <c:pt idx="0">
                  <c:v>888.98</c:v>
                </c:pt>
                <c:pt idx="1">
                  <c:v>1539.3</c:v>
                </c:pt>
                <c:pt idx="2">
                  <c:v>3183.9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3-4AC8-BF41-3373539D7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393360"/>
        <c:axId val="960673280"/>
      </c:lineChart>
      <c:catAx>
        <c:axId val="114339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antal filer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60673280"/>
        <c:crosses val="autoZero"/>
        <c:auto val="1"/>
        <c:lblAlgn val="ctr"/>
        <c:lblOffset val="100"/>
        <c:noMultiLvlLbl val="0"/>
      </c:catAx>
      <c:valAx>
        <c:axId val="9606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sekunder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4339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27</xdr:row>
      <xdr:rowOff>66675</xdr:rowOff>
    </xdr:from>
    <xdr:to>
      <xdr:col>4</xdr:col>
      <xdr:colOff>695325</xdr:colOff>
      <xdr:row>42</xdr:row>
      <xdr:rowOff>47625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3F3123D2-ACE1-C055-A5B6-C894A294B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29" workbookViewId="0">
      <selection activeCell="G47" sqref="G47"/>
    </sheetView>
  </sheetViews>
  <sheetFormatPr defaultRowHeight="14.5" x14ac:dyDescent="0.35"/>
  <cols>
    <col min="1" max="1" width="26" customWidth="1"/>
    <col min="2" max="2" width="19.81640625" customWidth="1"/>
    <col min="3" max="3" width="18.6328125" customWidth="1"/>
    <col min="4" max="4" width="17.453125" customWidth="1"/>
    <col min="5" max="5" width="17.7265625" customWidth="1"/>
    <col min="6" max="6" width="13.36328125" customWidth="1"/>
    <col min="7" max="7" width="17.36328125" customWidth="1"/>
    <col min="8" max="8" width="17.54296875" customWidth="1"/>
    <col min="9" max="9" width="13.54296875" customWidth="1"/>
    <col min="10" max="10" width="16.54296875" customWidth="1"/>
    <col min="11" max="11" width="13.1796875" customWidth="1"/>
  </cols>
  <sheetData>
    <row r="1" spans="1:12" x14ac:dyDescent="0.35">
      <c r="B1" t="s">
        <v>1</v>
      </c>
      <c r="I1" t="s">
        <v>2</v>
      </c>
      <c r="K1" t="s">
        <v>3</v>
      </c>
    </row>
    <row r="2" spans="1:12" x14ac:dyDescent="0.35">
      <c r="A2" t="s">
        <v>0</v>
      </c>
      <c r="B2" t="s">
        <v>4</v>
      </c>
      <c r="C2" t="s">
        <v>5</v>
      </c>
      <c r="D2" t="s">
        <v>19</v>
      </c>
      <c r="E2" t="s">
        <v>7</v>
      </c>
      <c r="F2" t="s">
        <v>8</v>
      </c>
      <c r="G2" t="s">
        <v>18</v>
      </c>
      <c r="H2" t="s">
        <v>6</v>
      </c>
      <c r="I2" t="s">
        <v>4</v>
      </c>
      <c r="J2" t="s">
        <v>5</v>
      </c>
      <c r="K2" t="s">
        <v>4</v>
      </c>
      <c r="L2" t="s">
        <v>5</v>
      </c>
    </row>
    <row r="3" spans="1:12" x14ac:dyDescent="0.35">
      <c r="A3" t="s">
        <v>9</v>
      </c>
      <c r="B3">
        <v>7</v>
      </c>
      <c r="C3">
        <v>4</v>
      </c>
      <c r="D3">
        <v>2</v>
      </c>
      <c r="E3">
        <v>0</v>
      </c>
      <c r="F3">
        <v>1</v>
      </c>
      <c r="G3">
        <v>2</v>
      </c>
      <c r="H3" t="s">
        <v>29</v>
      </c>
      <c r="I3">
        <v>1</v>
      </c>
      <c r="K3">
        <v>45</v>
      </c>
    </row>
    <row r="4" spans="1:12" x14ac:dyDescent="0.35">
      <c r="A4" t="s">
        <v>10</v>
      </c>
      <c r="B4">
        <v>8</v>
      </c>
      <c r="C4">
        <v>0</v>
      </c>
      <c r="D4">
        <v>0</v>
      </c>
      <c r="G4">
        <v>1</v>
      </c>
      <c r="H4" t="s">
        <v>20</v>
      </c>
      <c r="I4">
        <v>0</v>
      </c>
      <c r="K4">
        <v>25</v>
      </c>
    </row>
    <row r="5" spans="1:12" x14ac:dyDescent="0.35">
      <c r="A5" t="s">
        <v>11</v>
      </c>
      <c r="B5">
        <v>7</v>
      </c>
      <c r="C5">
        <v>2</v>
      </c>
      <c r="D5">
        <v>2</v>
      </c>
      <c r="E5">
        <v>0</v>
      </c>
      <c r="H5" t="s">
        <v>21</v>
      </c>
      <c r="I5">
        <v>0</v>
      </c>
      <c r="K5">
        <v>11</v>
      </c>
    </row>
    <row r="6" spans="1:12" x14ac:dyDescent="0.35">
      <c r="A6" t="s">
        <v>12</v>
      </c>
      <c r="B6">
        <v>1</v>
      </c>
      <c r="C6">
        <v>7</v>
      </c>
      <c r="D6">
        <v>0</v>
      </c>
      <c r="H6" t="s">
        <v>22</v>
      </c>
      <c r="I6">
        <v>0</v>
      </c>
      <c r="K6">
        <v>7</v>
      </c>
    </row>
    <row r="7" spans="1:12" x14ac:dyDescent="0.35">
      <c r="A7" t="s">
        <v>13</v>
      </c>
      <c r="B7">
        <v>6</v>
      </c>
      <c r="C7">
        <v>4</v>
      </c>
      <c r="D7">
        <v>1</v>
      </c>
      <c r="F7">
        <v>1</v>
      </c>
      <c r="H7" t="s">
        <v>23</v>
      </c>
      <c r="I7">
        <v>1</v>
      </c>
      <c r="K7">
        <v>13</v>
      </c>
    </row>
    <row r="8" spans="1:12" x14ac:dyDescent="0.35">
      <c r="A8" t="s">
        <v>14</v>
      </c>
      <c r="B8">
        <v>1</v>
      </c>
      <c r="C8">
        <v>9</v>
      </c>
      <c r="D8">
        <v>9</v>
      </c>
      <c r="H8" t="s">
        <v>24</v>
      </c>
      <c r="I8">
        <v>0</v>
      </c>
      <c r="K8">
        <v>26</v>
      </c>
    </row>
    <row r="9" spans="1:12" x14ac:dyDescent="0.35">
      <c r="A9" t="s">
        <v>15</v>
      </c>
      <c r="B9">
        <v>6</v>
      </c>
      <c r="C9">
        <v>3</v>
      </c>
      <c r="D9">
        <v>3</v>
      </c>
      <c r="E9">
        <v>1</v>
      </c>
      <c r="H9" t="s">
        <v>25</v>
      </c>
      <c r="I9">
        <v>2</v>
      </c>
      <c r="K9">
        <v>51</v>
      </c>
    </row>
    <row r="10" spans="1:12" x14ac:dyDescent="0.35">
      <c r="A10" t="s">
        <v>16</v>
      </c>
      <c r="B10">
        <v>10</v>
      </c>
      <c r="C10">
        <v>2</v>
      </c>
      <c r="D10">
        <v>2</v>
      </c>
      <c r="H10" t="s">
        <v>26</v>
      </c>
      <c r="I10">
        <v>0</v>
      </c>
      <c r="J10">
        <v>2</v>
      </c>
      <c r="K10">
        <v>18</v>
      </c>
      <c r="L10">
        <v>2</v>
      </c>
    </row>
    <row r="11" spans="1:12" x14ac:dyDescent="0.35">
      <c r="A11" t="s">
        <v>28</v>
      </c>
      <c r="B11" s="1">
        <v>0</v>
      </c>
      <c r="C11">
        <v>0</v>
      </c>
      <c r="D11">
        <v>0</v>
      </c>
      <c r="I11">
        <v>0</v>
      </c>
      <c r="K11">
        <v>1</v>
      </c>
    </row>
    <row r="12" spans="1:12" x14ac:dyDescent="0.35">
      <c r="A12" t="s">
        <v>17</v>
      </c>
      <c r="B12">
        <v>14</v>
      </c>
      <c r="C12">
        <v>4</v>
      </c>
      <c r="D12">
        <v>4</v>
      </c>
      <c r="H12" t="s">
        <v>27</v>
      </c>
      <c r="I12">
        <v>1</v>
      </c>
      <c r="K12">
        <v>47</v>
      </c>
    </row>
    <row r="13" spans="1:12" x14ac:dyDescent="0.35">
      <c r="B13">
        <f>SUM(B3:B12)</f>
        <v>60</v>
      </c>
      <c r="C13">
        <f>SUM(C3:C12)</f>
        <v>35</v>
      </c>
      <c r="D13">
        <f>SUM(D3:D12)</f>
        <v>23</v>
      </c>
      <c r="E13">
        <v>0</v>
      </c>
      <c r="F13">
        <v>2</v>
      </c>
      <c r="G13">
        <v>3</v>
      </c>
      <c r="I13">
        <f>SUM(I3:I12)</f>
        <v>5</v>
      </c>
      <c r="J13">
        <v>2</v>
      </c>
      <c r="K13">
        <f>SUM(K3:K12)</f>
        <v>244</v>
      </c>
      <c r="L13">
        <v>2</v>
      </c>
    </row>
    <row r="19" spans="1:11" x14ac:dyDescent="0.35">
      <c r="A19" t="s">
        <v>30</v>
      </c>
    </row>
    <row r="20" spans="1:11" x14ac:dyDescent="0.35">
      <c r="A20" t="s">
        <v>34</v>
      </c>
      <c r="B20">
        <v>80</v>
      </c>
      <c r="C20" t="s">
        <v>35</v>
      </c>
      <c r="D20">
        <v>160</v>
      </c>
      <c r="E20" t="s">
        <v>35</v>
      </c>
      <c r="F20">
        <v>320</v>
      </c>
      <c r="G20" t="s">
        <v>35</v>
      </c>
      <c r="H20">
        <v>560</v>
      </c>
      <c r="I20" t="s">
        <v>36</v>
      </c>
      <c r="J20">
        <v>480</v>
      </c>
      <c r="K20" t="s">
        <v>36</v>
      </c>
    </row>
    <row r="21" spans="1:11" x14ac:dyDescent="0.35">
      <c r="A21" t="s">
        <v>31</v>
      </c>
      <c r="B21">
        <v>267.24</v>
      </c>
      <c r="C21">
        <v>143</v>
      </c>
      <c r="D21">
        <v>495.8</v>
      </c>
      <c r="E21">
        <v>140</v>
      </c>
      <c r="F21">
        <v>1040.3900000000001</v>
      </c>
      <c r="G21">
        <v>283</v>
      </c>
      <c r="H21">
        <f t="shared" ref="H21:I23" si="0">SUM(B21,D21,F21)</f>
        <v>1803.43</v>
      </c>
      <c r="I21">
        <f t="shared" si="0"/>
        <v>566</v>
      </c>
      <c r="J21">
        <f t="shared" ref="J21:K23" si="1">SUM(D21,F21)</f>
        <v>1536.19</v>
      </c>
      <c r="K21">
        <f t="shared" si="1"/>
        <v>423</v>
      </c>
    </row>
    <row r="22" spans="1:11" x14ac:dyDescent="0.35">
      <c r="A22" t="s">
        <v>32</v>
      </c>
      <c r="B22">
        <v>273.67</v>
      </c>
      <c r="C22">
        <v>2949</v>
      </c>
      <c r="D22">
        <v>489.4</v>
      </c>
      <c r="E22">
        <v>3885</v>
      </c>
      <c r="F22">
        <v>1058.3800000000001</v>
      </c>
      <c r="G22">
        <v>9274</v>
      </c>
      <c r="H22">
        <f t="shared" si="0"/>
        <v>1821.45</v>
      </c>
      <c r="I22">
        <f t="shared" si="0"/>
        <v>16108</v>
      </c>
      <c r="J22">
        <f t="shared" si="1"/>
        <v>1547.7800000000002</v>
      </c>
      <c r="K22">
        <f t="shared" si="1"/>
        <v>13159</v>
      </c>
    </row>
    <row r="23" spans="1:11" x14ac:dyDescent="0.35">
      <c r="A23" t="s">
        <v>33</v>
      </c>
      <c r="B23">
        <v>888.98</v>
      </c>
      <c r="C23">
        <v>831</v>
      </c>
      <c r="D23">
        <v>1539.3</v>
      </c>
      <c r="E23">
        <v>1356</v>
      </c>
      <c r="F23">
        <v>3183.9</v>
      </c>
      <c r="G23">
        <v>2770</v>
      </c>
      <c r="H23">
        <f t="shared" si="0"/>
        <v>5612.18</v>
      </c>
      <c r="I23">
        <f t="shared" si="0"/>
        <v>4957</v>
      </c>
      <c r="J23">
        <f t="shared" si="1"/>
        <v>4723.2</v>
      </c>
      <c r="K23">
        <f t="shared" si="1"/>
        <v>4126</v>
      </c>
    </row>
    <row r="25" spans="1:11" x14ac:dyDescent="0.35">
      <c r="A25" t="s">
        <v>37</v>
      </c>
      <c r="B25">
        <f>B21/B20</f>
        <v>3.3405</v>
      </c>
      <c r="D25">
        <f>D21/D20</f>
        <v>3.0987499999999999</v>
      </c>
      <c r="F25">
        <f>F21/F20</f>
        <v>3.2512187500000005</v>
      </c>
      <c r="H25">
        <f>H21/H20</f>
        <v>3.2204107142857143</v>
      </c>
    </row>
    <row r="26" spans="1:11" x14ac:dyDescent="0.35">
      <c r="A26" t="s">
        <v>38</v>
      </c>
      <c r="B26">
        <f>B22/B20</f>
        <v>3.4208750000000001</v>
      </c>
      <c r="D26">
        <f>D22/D20</f>
        <v>3.0587499999999999</v>
      </c>
      <c r="F26">
        <f>F22/F20</f>
        <v>3.3074375000000003</v>
      </c>
      <c r="H26">
        <f>H22/H20</f>
        <v>3.252589285714286</v>
      </c>
    </row>
    <row r="27" spans="1:11" x14ac:dyDescent="0.35">
      <c r="A27" t="s">
        <v>39</v>
      </c>
      <c r="B27">
        <f>B23/B20</f>
        <v>11.11225</v>
      </c>
      <c r="D27">
        <f>D23/D20</f>
        <v>9.6206250000000004</v>
      </c>
      <c r="F27">
        <f>F23/F20</f>
        <v>9.9496874999999996</v>
      </c>
      <c r="H27">
        <f>H23/H20</f>
        <v>10.021750000000001</v>
      </c>
    </row>
    <row r="29" spans="1:11" x14ac:dyDescent="0.35">
      <c r="H29" t="s">
        <v>43</v>
      </c>
      <c r="I29">
        <f>SUM(1.19,(2.41-0.92),3.27)</f>
        <v>5.95</v>
      </c>
    </row>
    <row r="30" spans="1:11" x14ac:dyDescent="0.35">
      <c r="H30" t="s">
        <v>44</v>
      </c>
      <c r="I30">
        <f>I29*9.616</f>
        <v>57.215200000000003</v>
      </c>
    </row>
    <row r="44" spans="1:7" x14ac:dyDescent="0.35">
      <c r="B44" t="s">
        <v>40</v>
      </c>
      <c r="C44" t="s">
        <v>41</v>
      </c>
      <c r="D44" t="s">
        <v>42</v>
      </c>
    </row>
    <row r="45" spans="1:7" x14ac:dyDescent="0.35">
      <c r="A45" t="s">
        <v>2</v>
      </c>
      <c r="B45">
        <v>267.24</v>
      </c>
      <c r="C45">
        <v>495.8</v>
      </c>
      <c r="D45">
        <v>1040.3900000000001</v>
      </c>
    </row>
    <row r="46" spans="1:7" x14ac:dyDescent="0.35">
      <c r="A46" t="s">
        <v>3</v>
      </c>
      <c r="B46">
        <v>273.67</v>
      </c>
      <c r="C46">
        <v>489.4</v>
      </c>
      <c r="D46">
        <v>1058.3800000000001</v>
      </c>
      <c r="F46" t="s">
        <v>45</v>
      </c>
      <c r="G46" t="s">
        <v>46</v>
      </c>
    </row>
    <row r="47" spans="1:7" x14ac:dyDescent="0.35">
      <c r="A47" t="s">
        <v>1</v>
      </c>
      <c r="B47">
        <v>888.98</v>
      </c>
      <c r="C47">
        <v>1539.3</v>
      </c>
      <c r="D47">
        <v>3183.9</v>
      </c>
      <c r="F47" t="s">
        <v>47</v>
      </c>
      <c r="G47" t="s">
        <v>48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Ehne</dc:creator>
  <cp:lastModifiedBy>Fredrik Ehne</cp:lastModifiedBy>
  <dcterms:created xsi:type="dcterms:W3CDTF">2015-06-05T18:19:34Z</dcterms:created>
  <dcterms:modified xsi:type="dcterms:W3CDTF">2026-05-04T13:47:55Z</dcterms:modified>
</cp:coreProperties>
</file>